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<sst xmlns="http://schemas.openxmlformats.org/spreadsheetml/2006/main" count="163" uniqueCount="102">
  <si>
    <t xml:space="preserve"> Competence </t>
  </si>
  <si>
    <t xml:space="preserve">Level</t>
  </si>
  <si>
    <t xml:space="preserve">Action Indicators in Behavioral Characteristics</t>
  </si>
  <si>
    <t xml:space="preserve">S2 Context / N/A</t>
  </si>
  <si>
    <t xml:space="preserve">Period</t>
  </si>
  <si>
    <t xml:space="preserve">Grade</t>
  </si>
  <si>
    <t xml:space="preserve">Explanation / Comments from Examiners</t>
  </si>
  <si>
    <t xml:space="preserve">1.</t>
  </si>
  <si>
    <t xml:space="preserve">Analyse</t>
  </si>
  <si>
    <t xml:space="preserve">II</t>
  </si>
  <si>
    <t xml:space="preserve">a.</t>
  </si>
  <si>
    <t xml:space="preserve">deciding what aspects are relevant for the question</t>
  </si>
  <si>
    <t xml:space="preserve">Relevance to the project has been recognized and described.</t>
  </si>
  <si>
    <t xml:space="preserve">Introduction contains clear motivation, problem statement, and context. Structure of chapter can be done in text rather than in bullet points. The requiresments can be more specific at places, for example f1.4:specify how those margins should look like
f1: I would split this into a technical and functional requirement. Technical: Use the HM-10...
Functional: The device must scan for iBeacons</t>
  </si>
  <si>
    <t xml:space="preserve">b.</t>
  </si>
  <si>
    <t xml:space="preserve">indicating what economic, societal and technical aspects may be affected</t>
  </si>
  <si>
    <t xml:space="preserve">N/A</t>
  </si>
  <si>
    <t xml:space="preserve">c.</t>
  </si>
  <si>
    <t xml:space="preserve">formulating a clear-cut problem definition, objective and assignment, based on the client’s demands</t>
  </si>
  <si>
    <t xml:space="preserve">Formulating a clear problem definition, objective and assignment based on the wishes of the customer</t>
  </si>
  <si>
    <t xml:space="preserve">d.</t>
  </si>
  <si>
    <t xml:space="preserve">drafting and documenting a programme of requirements</t>
  </si>
  <si>
    <t xml:space="preserve">The functional specifications are detailed. The client/client's package of requirements has been translated into detailed functional specifications (SMART)</t>
  </si>
  <si>
    <t xml:space="preserve">e.</t>
  </si>
  <si>
    <t xml:space="preserve">modelling an existing product, process of service</t>
  </si>
  <si>
    <t xml:space="preserve">2.</t>
  </si>
  <si>
    <t xml:space="preserve">Design</t>
  </si>
  <si>
    <t xml:space="preserve">choosing a concept solution (architecture), based on the requirements</t>
  </si>
  <si>
    <t xml:space="preserve">The design contains a brief description of the main function of the system to be designed with a global input-process-output scheme (IPO).</t>
  </si>
  <si>
    <t xml:space="preserve">Parts are clearly documented using AI. Did you read what it output? The design and architecture is missing</t>
  </si>
  <si>
    <t xml:space="preserve">drawing detailed designs from the concept solution (architecture)</t>
  </si>
  <si>
    <t xml:space="preserve">The main functions are broken down into relevant sub functions and the relationship between the subsystems is defined. Description of a correct relationship between the system components such as microcontroller, sensors, actuators, PC and/or website.</t>
  </si>
  <si>
    <t xml:space="preserve">taking into account the design’s feasibility and testability</t>
  </si>
  <si>
    <t xml:space="preserve">Take into account the manufacturability and testability of the design and provide a clear substantiation.</t>
  </si>
  <si>
    <t xml:space="preserve">checking the design against the programme of requirements</t>
  </si>
  <si>
    <t xml:space="preserve">The design is substantiated with calculations and/or data from the studies.</t>
  </si>
  <si>
    <t xml:space="preserve">selecting the right design tools</t>
  </si>
  <si>
    <t xml:space="preserve">Appropriate design tools and development tools are used for hard and software design. As well as the way in which they are used is clearly described.</t>
  </si>
  <si>
    <t xml:space="preserve">f.</t>
  </si>
  <si>
    <t xml:space="preserve">drawing up documentation for the product, service or process</t>
  </si>
  <si>
    <t xml:space="preserve">Among other things, a user interface is described. This shows how the user should interact with the system.</t>
  </si>
  <si>
    <t xml:space="preserve">3.</t>
  </si>
  <si>
    <t xml:space="preserve">Realize</t>
  </si>
  <si>
    <t xml:space="preserve">The right use of materials, processes, methods, norms and standards.</t>
  </si>
  <si>
    <t xml:space="preserve">Correct assembly of the (loose) components into an integrated product.</t>
  </si>
  <si>
    <t xml:space="preserve">Assembling components into an integral product, service or process.</t>
  </si>
  <si>
    <t xml:space="preserve">The realized product consists of the following parts:
a. Uses several sensors
b. Uses sevral actuators
c. Control: actuators are adjusted based on sensors.
d. Manual control on the product (display, keys).
e. Connection to a “remote” device.
f. Clear user interface on the “remote” device.</t>
  </si>
  <si>
    <t xml:space="preserve">Verifying and validating a product, service or process against the requirements.</t>
  </si>
  <si>
    <t xml:space="preserve">the design or parts thereof have been verified on the basis of simulations and/or test software.</t>
  </si>
  <si>
    <t xml:space="preserve">Discussing changes in circumstances in the project with stakeholders and identifying the implications and risks.</t>
  </si>
  <si>
    <t xml:space="preserve">realization process clearly documented.</t>
  </si>
  <si>
    <t xml:space="preserve">4.</t>
  </si>
  <si>
    <t xml:space="preserve">Control</t>
  </si>
  <si>
    <t xml:space="preserve">I</t>
  </si>
  <si>
    <t xml:space="preserve">proving that the realized product, process or service is adequate for commissioning or production (including testing)</t>
  </si>
  <si>
    <t xml:space="preserve">test plan executed and the right conclusions drawn from the test results</t>
  </si>
  <si>
    <t xml:space="preserve">documenting the engineering process and the realized product, process or service to enable good follow up</t>
  </si>
  <si>
    <t xml:space="preserve">checking the performance of a product, service or process against quality standards (including standards in the areas of safety, sustainability, economic feasibility)</t>
  </si>
  <si>
    <t xml:space="preserve">discussing changes in circumstances in the project with stakeholders and identifying the implications and risks</t>
  </si>
  <si>
    <t xml:space="preserve">5.</t>
  </si>
  <si>
    <t xml:space="preserve">Manage</t>
  </si>
  <si>
    <t xml:space="preserve">starting up a project: quantifying the required time and budget, assessing and weighing risks, setting up the project documentation and organising resources</t>
  </si>
  <si>
    <t xml:space="preserve">Weighing risks and dividing tasks.</t>
  </si>
  <si>
    <t xml:space="preserve">monitoring and managing activities with regard to budget, time, quality, information and organisation</t>
  </si>
  <si>
    <t xml:space="preserve">task and process oriented communication</t>
  </si>
  <si>
    <t xml:space="preserve">supervising employees, stimulating collaboration and delegating tasks</t>
  </si>
  <si>
    <t xml:space="preserve">communicating and collaborating with others in a multicultural, international and/or multidisciplinary environment</t>
  </si>
  <si>
    <t xml:space="preserve">6.</t>
  </si>
  <si>
    <t xml:space="preserve">Advising</t>
  </si>
  <si>
    <t xml:space="preserve">understanding the needs of internal and external customers</t>
  </si>
  <si>
    <t xml:space="preserve">clarifying what de client requires</t>
  </si>
  <si>
    <t xml:space="preserve">translating the customer needs into technically and financially viable solutions</t>
  </si>
  <si>
    <t xml:space="preserve">substantiating an advice to convince the customer</t>
  </si>
  <si>
    <t xml:space="preserve">clear conclusion and advice can be found in the report</t>
  </si>
  <si>
    <t xml:space="preserve">maintaining good relationships with customer</t>
  </si>
  <si>
    <t xml:space="preserve">7.</t>
  </si>
  <si>
    <t xml:space="preserve">Research</t>
  </si>
  <si>
    <t xml:space="preserve">translating hypotheses into research objectives</t>
  </si>
  <si>
    <t xml:space="preserve">relevatie voor het project is herkend en beschreven</t>
  </si>
  <si>
    <t xml:space="preserve">missing</t>
  </si>
  <si>
    <t xml:space="preserve">independently selecting, validating and obtaining (scientific) literature and other information sources in order to understand the hypothesis fully</t>
  </si>
  <si>
    <t xml:space="preserve">field research gedaan, proefondervindelijk zaken onderzoeken.</t>
  </si>
  <si>
    <t xml:space="preserve">summarising, arranging and interpreting results and drawing conclusions regarding the research question</t>
  </si>
  <si>
    <t xml:space="preserve">answering the research questions and correct conclusions drawn from the studies.</t>
  </si>
  <si>
    <t xml:space="preserve">reporting results according to the relevant professional standard</t>
  </si>
  <si>
    <t xml:space="preserve">using the obtained results to critically evaluate the approach chosen and provide recommendations for future research</t>
  </si>
  <si>
    <t xml:space="preserve">8.</t>
  </si>
  <si>
    <t xml:space="preserve">Professionalize</t>
  </si>
  <si>
    <t xml:space="preserve">choosing a learning outcome and strategy independently, and using the result to reflect on the learning outcome</t>
  </si>
  <si>
    <t xml:space="preserve">being flexible in all kinds of professional situations</t>
  </si>
  <si>
    <t xml:space="preserve">taking shared norms and values into account when weighing a decision in professional and ethical dilemmas</t>
  </si>
  <si>
    <t xml:space="preserve">being constructive in giving and receiving feedback</t>
  </si>
  <si>
    <t xml:space="preserve">self-reflection part in report</t>
  </si>
  <si>
    <t xml:space="preserve">being able to use various forms and means to communicate in Dutch and English</t>
  </si>
  <si>
    <t xml:space="preserve">Group grade p1</t>
  </si>
  <si>
    <t xml:space="preserve">Group grade p2</t>
  </si>
  <si>
    <t xml:space="preserve">Individual grades p2</t>
  </si>
  <si>
    <t xml:space="preserve">Student 1</t>
  </si>
  <si>
    <t xml:space="preserve">Student 2</t>
  </si>
  <si>
    <t xml:space="preserve">Student 3</t>
  </si>
  <si>
    <t xml:space="preserve">Student 4</t>
  </si>
  <si>
    <t xml:space="preserve">Student 5</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</si>
</sst>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1"/>
    </font>
    <font>
      <b val="true"/>
      <sz val="11"/>
      <color theme="0"/>
      <name val="Calibri"/>
      <family val="2"/>
      <charset val="1"/>
    </font>
    <font>
      <sz val="11"/>
      <color theme="1"/>
      <name val="Arial"/>
      <family val="2"/>
      <charset val="1"/>
    </font>
    <font>
      <i val="true"/>
      <sz val="11"/>
      <color theme="1"/>
      <name val="Calibri"/>
      <family val="2"/>
      <charset val="1"/>
    </font>
    <font>
      <sz val="14"/>
      <color theme="1"/>
      <name val="Calibri"/>
      <family val="2"/>
      <charset val="1"/>
    </font>
    <font>
      <sz val="12"/>
      <name val="Calibri"/>
      <family val="2"/>
      <charset val="1"/>
    </font>
    <font>
      <sz val="11"/>
      <color rgb="FFFF0000"/>
      <name val="Calibri"/>
      <family val="2"/>
      <charset val="1"/>
    </font>
    <font>
      <sz val="11"/>
      <color theme="0" tint="-0.5"/>
      <name val="Calibri"/>
      <family val="2"/>
      <charset val="1"/>
    </font>
    <font>
      <b val="true"/>
      <sz val="10"/>
      <color theme="0"/>
      <name val="Calibri"/>
      <family val="2"/>
      <charset val="1"/>
    </font>
    <font>
      <i val="true"/>
      <sz val="12"/>
      <name val="Calibri"/>
      <family val="2"/>
      <charset val="1"/>
    </font>
    <font>
      <b val="true"/>
      <sz val="11"/>
      <color theme="1"/>
      <name val="Calibri"/>
      <family val="2"/>
      <charset val="1"/>
    </font>
  </fonts>
  <fills count="6">
    <fill>
      <patternFill patternType="none"/>
    </fill>
    <fill>
      <patternFill patternType="gray125"/>
    </fill>
    <fill>
      <patternFill patternType="solid">
        <fgColor theme="4" tint="-0.25"/>
        <bgColor rgb="FF666699"/>
      </patternFill>
    </fill>
    <fill>
      <patternFill patternType="solid">
        <fgColor theme="0"/>
        <bgColor rgb="FFFFFFCC"/>
      </patternFill>
    </fill>
    <fill>
      <patternFill patternType="solid">
        <fgColor rgb="FFFF0000"/>
        <bgColor rgb="FF993300"/>
      </patternFill>
    </fill>
    <fill>
      <patternFill patternType="solid">
        <fgColor theme="4" tint="0.7999"/>
        <bgColor rgb="FFCCFFFF"/>
      </patternFill>
    </fill>
  </fills>
  <borders count="9">
    <border diagonalUp="false" diagonalDown="false">
      <left/>
      <right/>
      <top/>
      <bottom/>
      <diagonal/>
    </border>
    <border diagonalUp="false" diagonalDown="false">
      <left style="thin"/>
      <right style="thin"/>
      <top style="thin"/>
      <bottom/>
      <diagonal/>
    </border>
    <border diagonalUp="false" diagonalDown="false">
      <left/>
      <right/>
      <top style="thin"/>
      <bottom/>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bottom" textRotation="90" wrapText="false" indent="0" shrinkToFit="tru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bottom" textRotation="90" wrapText="false" indent="0" shrinkToFit="true"/>
      <protection locked="true" hidden="false"/>
    </xf>
    <xf numFmtId="164" fontId="4" fillId="2" borderId="1" xfId="0" applyFont="true" applyBorder="true" applyAlignment="true" applyProtection="false">
      <alignment horizontal="left" vertical="center" textRotation="0" wrapText="true" indent="1" shrinkToFit="false"/>
      <protection locked="true" hidden="false"/>
    </xf>
    <xf numFmtId="164" fontId="6" fillId="3" borderId="3"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true"/>
      <protection locked="true" hidden="false"/>
    </xf>
    <xf numFmtId="164" fontId="0" fillId="4" borderId="5" xfId="0" applyFont="true" applyBorder="true" applyAlignment="true" applyProtection="false">
      <alignment horizontal="left" vertical="center"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4" fontId="9" fillId="0" borderId="5" xfId="0" applyFont="true" applyBorder="true" applyAlignment="true" applyProtection="false">
      <alignment horizontal="left" vertical="center" textRotation="0" wrapText="false" indent="0" shrinkToFit="tru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left" vertical="center" textRotation="0" wrapText="false" indent="0" shrinkToFit="false"/>
      <protection locked="true" hidden="false"/>
    </xf>
    <xf numFmtId="164" fontId="7" fillId="5" borderId="5" xfId="0" applyFont="true" applyBorder="true" applyAlignment="true" applyProtection="false">
      <alignment horizontal="general" vertical="top" textRotation="0" wrapText="true" indent="0" shrinkToFit="false"/>
      <protection locked="true" hidden="false"/>
    </xf>
    <xf numFmtId="164" fontId="10" fillId="0" borderId="5" xfId="0" applyFont="true" applyBorder="true" applyAlignment="true" applyProtection="false">
      <alignment horizontal="left" vertical="center" textRotation="0" wrapText="true" indent="0" shrinkToFit="false"/>
      <protection locked="true" hidden="false"/>
    </xf>
    <xf numFmtId="164" fontId="7" fillId="5" borderId="5" xfId="0" applyFont="true" applyBorder="true" applyAlignment="true" applyProtection="false">
      <alignment horizontal="general" vertical="center" textRotation="0" wrapText="tru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left" vertical="center" textRotation="0" wrapText="true" indent="0" shrinkToFit="false"/>
      <protection locked="true" hidden="false"/>
    </xf>
    <xf numFmtId="164" fontId="7" fillId="0" borderId="5" xfId="0" applyFont="true" applyBorder="true" applyAlignment="true" applyProtection="false">
      <alignment horizontal="general" vertical="top" textRotation="0" wrapText="false" indent="0" shrinkToFit="false"/>
      <protection locked="true" hidden="false"/>
    </xf>
    <xf numFmtId="164" fontId="7" fillId="5" borderId="5" xfId="0" applyFont="true" applyBorder="tru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1" fillId="0" borderId="7" xfId="0" applyFont="true" applyBorder="true" applyAlignment="true" applyProtection="false">
      <alignment horizontal="left" vertical="bottom" textRotation="0" wrapText="false" indent="0" shrinkToFit="false"/>
      <protection locked="true" hidden="false"/>
    </xf>
    <xf numFmtId="164" fontId="4" fillId="2" borderId="6" xfId="0" applyFont="true" applyBorder="true" applyAlignment="true" applyProtection="false">
      <alignment horizontal="left" vertical="center" textRotation="0" wrapText="false" indent="0" shrinkToFit="false"/>
      <protection locked="true" hidden="false"/>
    </xf>
    <xf numFmtId="164" fontId="5" fillId="2" borderId="4" xfId="0" applyFont="true" applyBorder="true" applyAlignment="true" applyProtection="false">
      <alignment horizontal="left" vertical="top" textRotation="0" wrapText="true" indent="0" shrinkToFit="false"/>
      <protection locked="true" hidden="false"/>
    </xf>
    <xf numFmtId="164" fontId="5" fillId="2" borderId="5" xfId="0" applyFont="true" applyBorder="true" applyAlignment="true" applyProtection="false">
      <alignment horizontal="center" vertical="bottom" textRotation="90" wrapText="false" indent="0" shrinkToFit="true"/>
      <protection locked="true" hidden="false"/>
    </xf>
    <xf numFmtId="164" fontId="12" fillId="2" borderId="7" xfId="0" applyFont="true" applyBorder="true" applyAlignment="true" applyProtection="false">
      <alignment horizontal="center" vertical="center" textRotation="90" wrapText="false" indent="0" shrinkToFit="true"/>
      <protection locked="true" hidden="false"/>
    </xf>
    <xf numFmtId="164" fontId="5" fillId="2" borderId="7" xfId="0" applyFont="true" applyBorder="true" applyAlignment="true" applyProtection="false">
      <alignment horizontal="left" vertical="bottom" textRotation="90" wrapText="false" indent="0" shrinkToFit="true"/>
      <protection locked="true" hidden="false"/>
    </xf>
    <xf numFmtId="164" fontId="4" fillId="2" borderId="4" xfId="0" applyFont="true" applyBorder="true" applyAlignment="true" applyProtection="false">
      <alignment horizontal="left" vertical="center" textRotation="0" wrapText="true" indent="1" shrinkToFit="false"/>
      <protection locked="true" hidden="false"/>
    </xf>
    <xf numFmtId="164" fontId="0" fillId="5" borderId="3" xfId="0" applyFont="true" applyBorder="true" applyAlignment="true" applyProtection="false">
      <alignment horizontal="center" vertical="center" textRotation="0" wrapText="false" indent="0" shrinkToFit="false"/>
      <protection locked="true" hidden="false"/>
    </xf>
    <xf numFmtId="164" fontId="6" fillId="5" borderId="4" xfId="0" applyFont="true" applyBorder="true" applyAlignment="true" applyProtection="false">
      <alignment horizontal="left" vertical="center" textRotation="0" wrapText="false" indent="0" shrinkToFit="false"/>
      <protection locked="true" hidden="false"/>
    </xf>
    <xf numFmtId="164" fontId="6" fillId="5" borderId="8" xfId="0" applyFont="true" applyBorder="true" applyAlignment="true" applyProtection="false">
      <alignment horizontal="center" vertical="center" textRotation="0" wrapText="true" indent="0" shrinkToFit="false"/>
      <protection locked="true" hidden="false"/>
    </xf>
    <xf numFmtId="164" fontId="6" fillId="5" borderId="8" xfId="0" applyFont="true" applyBorder="true" applyAlignment="true" applyProtection="false">
      <alignment horizontal="center" vertical="center" textRotation="0" wrapText="false" indent="0" shrinkToFit="false"/>
      <protection locked="true" hidden="false"/>
    </xf>
    <xf numFmtId="164" fontId="13" fillId="0" borderId="5" xfId="0" applyFont="true" applyBorder="true" applyAlignment="true" applyProtection="false">
      <alignment horizontal="left" vertical="top" textRotation="0" wrapText="false" indent="0" shrinkToFit="true"/>
      <protection locked="true" hidden="false"/>
    </xf>
    <xf numFmtId="164" fontId="8" fillId="0" borderId="8" xfId="0" applyFont="true" applyBorder="true" applyAlignment="true" applyProtection="false">
      <alignment horizontal="center" vertical="center" textRotation="0" wrapText="false" indent="0" shrinkToFit="true"/>
      <protection locked="true" hidden="false"/>
    </xf>
    <xf numFmtId="164" fontId="0" fillId="5" borderId="8" xfId="0" applyFont="false" applyBorder="true" applyAlignment="true" applyProtection="false">
      <alignment horizontal="left" vertical="center" textRotation="0" wrapText="true" indent="0" shrinkToFit="false"/>
      <protection locked="true" hidden="false"/>
    </xf>
    <xf numFmtId="164" fontId="6" fillId="5" borderId="5" xfId="0" applyFont="true" applyBorder="true" applyAlignment="true" applyProtection="false">
      <alignment horizontal="center" vertical="center" textRotation="0" wrapText="false" indent="0" shrinkToFit="false"/>
      <protection locked="true" hidden="false"/>
    </xf>
    <xf numFmtId="164" fontId="0" fillId="3" borderId="6"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0" fillId="5" borderId="6" xfId="0" applyFont="true" applyBorder="true" applyAlignment="true" applyProtection="false">
      <alignment horizontal="center" vertical="center" textRotation="0" wrapText="true" indent="0" shrinkToFit="false"/>
      <protection locked="true" hidden="false"/>
    </xf>
    <xf numFmtId="164" fontId="6" fillId="5" borderId="4" xfId="0" applyFont="true" applyBorder="true" applyAlignment="true" applyProtection="false">
      <alignment horizontal="left" vertical="center" textRotation="0" wrapText="true" indent="0" shrinkToFit="false"/>
      <protection locked="true" hidden="false"/>
    </xf>
    <xf numFmtId="164" fontId="6" fillId="5" borderId="5" xfId="0" applyFont="true" applyBorder="true" applyAlignment="true" applyProtection="false">
      <alignment horizontal="center" vertical="center" textRotation="0" wrapText="true" indent="0" shrinkToFit="false"/>
      <protection locked="true" hidden="false"/>
    </xf>
    <xf numFmtId="164" fontId="0" fillId="5" borderId="5" xfId="0" applyFont="fals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top" textRotation="0" wrapText="true" indent="0" shrinkToFit="tru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5" fontId="14"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theme="4" tint="0.7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7" activeCellId="0" sqref="I7"/>
    </sheetView>
  </sheetViews>
  <sheetFormatPr defaultColWidth="8.6796875" defaultRowHeight="14.25" customHeight="false" zeroHeight="false" outlineLevelRow="0" outlineLevelCol="0"/>
  <cols>
    <col collapsed="false" customWidth="true" hidden="false" outlineLevel="0" max="1" min="1" style="0" width="6"/>
    <col collapsed="false" customWidth="true" hidden="false" outlineLevel="0" max="2" min="2" style="0" width="16.56"/>
    <col collapsed="false" customWidth="true" hidden="false" outlineLevel="0" max="3" min="3" style="0" width="7"/>
    <col collapsed="false" customWidth="true" hidden="false" outlineLevel="0" max="4" min="4" style="0" width="5.11"/>
    <col collapsed="false" customWidth="true" hidden="false" outlineLevel="0" max="5" min="5" style="0" width="51.56"/>
    <col collapsed="false" customWidth="true" hidden="false" outlineLevel="0" max="6" min="6" style="0" width="65"/>
    <col collapsed="false" customWidth="true" hidden="false" outlineLevel="0" max="7" min="7" style="1" width="4.11"/>
    <col collapsed="false" customWidth="true" hidden="false" outlineLevel="0" max="8" min="8" style="0" width="4.56"/>
    <col collapsed="false" customWidth="true" hidden="false" outlineLevel="0" max="10" min="10" style="0" width="57.88"/>
  </cols>
  <sheetData>
    <row r="1" customFormat="false" ht="32.05" hidden="false" customHeight="true" outlineLevel="0" collapsed="false">
      <c r="A1" s="2" t="s">
        <v>0</v>
      </c>
      <c r="B1" s="2"/>
      <c r="C1" s="3" t="s">
        <v>1</v>
      </c>
      <c r="D1" s="4"/>
      <c r="E1" s="5" t="s">
        <v>2</v>
      </c>
      <c r="F1" s="5" t="s">
        <v>3</v>
      </c>
      <c r="G1" s="6" t="s">
        <v>4</v>
      </c>
      <c r="H1" s="6" t="s">
        <v>5</v>
      </c>
      <c r="I1" s="7" t="s">
        <v>6</v>
      </c>
      <c r="J1" s="7"/>
    </row>
    <row r="2" customFormat="false" ht="24" hidden="false" customHeight="true" outlineLevel="0" collapsed="false">
      <c r="A2" s="8" t="s">
        <v>7</v>
      </c>
      <c r="B2" s="9" t="s">
        <v>8</v>
      </c>
      <c r="C2" s="10" t="s">
        <v>9</v>
      </c>
      <c r="D2" s="11" t="s">
        <v>10</v>
      </c>
      <c r="E2" s="12" t="s">
        <v>11</v>
      </c>
      <c r="F2" s="13" t="s">
        <v>12</v>
      </c>
      <c r="G2" s="14" t="n">
        <v>1</v>
      </c>
      <c r="H2" s="14" t="n">
        <v>7</v>
      </c>
      <c r="I2" s="15" t="s">
        <v>13</v>
      </c>
      <c r="J2" s="15"/>
    </row>
    <row r="3" customFormat="false" ht="33.75" hidden="false" customHeight="true" outlineLevel="0" collapsed="false">
      <c r="A3" s="8" t="e">
        <f aca="false">#REF!</f>
        <v>#REF!</v>
      </c>
      <c r="B3" s="9"/>
      <c r="C3" s="10"/>
      <c r="D3" s="11" t="s">
        <v>14</v>
      </c>
      <c r="E3" s="16" t="s">
        <v>15</v>
      </c>
      <c r="F3" s="17" t="s">
        <v>16</v>
      </c>
      <c r="G3" s="14"/>
      <c r="H3" s="14"/>
      <c r="I3" s="15"/>
      <c r="J3" s="15"/>
    </row>
    <row r="4" customFormat="false" ht="29.25" hidden="false" customHeight="true" outlineLevel="0" collapsed="false">
      <c r="A4" s="8" t="e">
        <f aca="false">#REF!</f>
        <v>#REF!</v>
      </c>
      <c r="B4" s="9"/>
      <c r="C4" s="10"/>
      <c r="D4" s="11" t="s">
        <v>17</v>
      </c>
      <c r="E4" s="16" t="s">
        <v>18</v>
      </c>
      <c r="F4" s="18" t="s">
        <v>19</v>
      </c>
      <c r="G4" s="14"/>
      <c r="H4" s="14"/>
      <c r="I4" s="15"/>
      <c r="J4" s="15"/>
    </row>
    <row r="5" customFormat="false" ht="54" hidden="false" customHeight="true" outlineLevel="0" collapsed="false">
      <c r="A5" s="8" t="e">
        <f aca="false">#REF!</f>
        <v>#REF!</v>
      </c>
      <c r="B5" s="9"/>
      <c r="C5" s="10"/>
      <c r="D5" s="11" t="s">
        <v>20</v>
      </c>
      <c r="E5" s="12" t="s">
        <v>21</v>
      </c>
      <c r="F5" s="19" t="s">
        <v>22</v>
      </c>
      <c r="G5" s="14"/>
      <c r="H5" s="14"/>
      <c r="I5" s="15"/>
      <c r="J5" s="15"/>
    </row>
    <row r="6" customFormat="false" ht="24" hidden="false" customHeight="true" outlineLevel="0" collapsed="false">
      <c r="A6" s="8" t="e">
        <f aca="false">#REF!</f>
        <v>#REF!</v>
      </c>
      <c r="B6" s="9"/>
      <c r="C6" s="10"/>
      <c r="D6" s="11" t="s">
        <v>23</v>
      </c>
      <c r="E6" s="16" t="s">
        <v>24</v>
      </c>
      <c r="F6" s="17" t="s">
        <v>16</v>
      </c>
      <c r="G6" s="14"/>
      <c r="H6" s="14"/>
      <c r="I6" s="15"/>
      <c r="J6" s="15"/>
    </row>
    <row r="7" customFormat="false" ht="26.85" hidden="false" customHeight="true" outlineLevel="0" collapsed="false">
      <c r="A7" s="20" t="s">
        <v>25</v>
      </c>
      <c r="B7" s="21" t="s">
        <v>26</v>
      </c>
      <c r="C7" s="10" t="s">
        <v>9</v>
      </c>
      <c r="D7" s="11" t="s">
        <v>10</v>
      </c>
      <c r="E7" s="16" t="s">
        <v>27</v>
      </c>
      <c r="F7" s="22" t="s">
        <v>28</v>
      </c>
      <c r="G7" s="14" t="n">
        <v>1</v>
      </c>
      <c r="H7" s="14" t="n">
        <v>4</v>
      </c>
      <c r="I7" s="23" t="s">
        <v>29</v>
      </c>
      <c r="J7" s="23"/>
    </row>
    <row r="8" customFormat="false" ht="46.25" hidden="false" customHeight="false" outlineLevel="0" collapsed="false">
      <c r="A8" s="20" t="e">
        <f aca="false">#REF!</f>
        <v>#REF!</v>
      </c>
      <c r="B8" s="21"/>
      <c r="C8" s="10"/>
      <c r="D8" s="11" t="s">
        <v>14</v>
      </c>
      <c r="E8" s="16" t="s">
        <v>30</v>
      </c>
      <c r="F8" s="22" t="s">
        <v>31</v>
      </c>
      <c r="G8" s="14"/>
      <c r="H8" s="14"/>
      <c r="I8" s="23"/>
      <c r="J8" s="23"/>
    </row>
    <row r="9" customFormat="false" ht="26.85" hidden="false" customHeight="false" outlineLevel="0" collapsed="false">
      <c r="A9" s="20" t="e">
        <f aca="false">#REF!</f>
        <v>#REF!</v>
      </c>
      <c r="B9" s="21"/>
      <c r="C9" s="10"/>
      <c r="D9" s="11" t="s">
        <v>17</v>
      </c>
      <c r="E9" s="16" t="s">
        <v>32</v>
      </c>
      <c r="F9" s="24" t="s">
        <v>33</v>
      </c>
      <c r="G9" s="14"/>
      <c r="H9" s="14"/>
      <c r="I9" s="23"/>
      <c r="J9" s="23"/>
    </row>
    <row r="10" customFormat="false" ht="26.85" hidden="false" customHeight="false" outlineLevel="0" collapsed="false">
      <c r="A10" s="20" t="e">
        <f aca="false">#REF!</f>
        <v>#REF!</v>
      </c>
      <c r="B10" s="21"/>
      <c r="C10" s="10"/>
      <c r="D10" s="11" t="s">
        <v>20</v>
      </c>
      <c r="E10" s="16" t="s">
        <v>34</v>
      </c>
      <c r="F10" s="22" t="s">
        <v>35</v>
      </c>
      <c r="G10" s="14"/>
      <c r="H10" s="14"/>
      <c r="I10" s="23"/>
      <c r="J10" s="23"/>
    </row>
    <row r="11" customFormat="false" ht="35.05" hidden="false" customHeight="false" outlineLevel="0" collapsed="false">
      <c r="A11" s="20" t="e">
        <f aca="false">#REF!</f>
        <v>#REF!</v>
      </c>
      <c r="B11" s="21"/>
      <c r="C11" s="10"/>
      <c r="D11" s="11" t="s">
        <v>23</v>
      </c>
      <c r="E11" s="16" t="s">
        <v>36</v>
      </c>
      <c r="F11" s="24" t="s">
        <v>37</v>
      </c>
      <c r="G11" s="14"/>
      <c r="H11" s="14"/>
      <c r="I11" s="23"/>
      <c r="J11" s="23"/>
    </row>
    <row r="12" customFormat="false" ht="26.85" hidden="false" customHeight="false" outlineLevel="0" collapsed="false">
      <c r="A12" s="20" t="e">
        <f aca="false">#REF!</f>
        <v>#REF!</v>
      </c>
      <c r="B12" s="21"/>
      <c r="C12" s="10"/>
      <c r="D12" s="11" t="s">
        <v>38</v>
      </c>
      <c r="E12" s="16" t="s">
        <v>39</v>
      </c>
      <c r="F12" s="22" t="s">
        <v>40</v>
      </c>
      <c r="G12" s="14"/>
      <c r="H12" s="14"/>
      <c r="I12" s="23"/>
      <c r="J12" s="23"/>
    </row>
    <row r="13" customFormat="false" ht="26.85" hidden="false" customHeight="true" outlineLevel="0" collapsed="false">
      <c r="A13" s="25" t="s">
        <v>41</v>
      </c>
      <c r="B13" s="9" t="s">
        <v>42</v>
      </c>
      <c r="C13" s="10" t="s">
        <v>9</v>
      </c>
      <c r="D13" s="11" t="s">
        <v>10</v>
      </c>
      <c r="E13" s="16" t="s">
        <v>43</v>
      </c>
      <c r="F13" s="18" t="s">
        <v>44</v>
      </c>
      <c r="G13" s="14" t="n">
        <v>2</v>
      </c>
      <c r="H13" s="14"/>
      <c r="I13" s="26"/>
      <c r="J13" s="26"/>
    </row>
    <row r="14" customFormat="false" ht="79.85" hidden="false" customHeight="false" outlineLevel="0" collapsed="false">
      <c r="A14" s="25" t="e">
        <f aca="false">#REF!</f>
        <v>#REF!</v>
      </c>
      <c r="B14" s="9"/>
      <c r="C14" s="10"/>
      <c r="D14" s="11" t="s">
        <v>14</v>
      </c>
      <c r="E14" s="16" t="s">
        <v>45</v>
      </c>
      <c r="F14" s="18" t="s">
        <v>46</v>
      </c>
      <c r="G14" s="14"/>
      <c r="H14" s="14"/>
      <c r="I14" s="26"/>
      <c r="J14" s="26"/>
    </row>
    <row r="15" customFormat="false" ht="26.85" hidden="false" customHeight="false" outlineLevel="0" collapsed="false">
      <c r="A15" s="25" t="e">
        <f aca="false">#REF!</f>
        <v>#REF!</v>
      </c>
      <c r="B15" s="9"/>
      <c r="C15" s="10"/>
      <c r="D15" s="11" t="s">
        <v>17</v>
      </c>
      <c r="E15" s="16" t="s">
        <v>47</v>
      </c>
      <c r="F15" s="18" t="s">
        <v>48</v>
      </c>
      <c r="G15" s="14"/>
      <c r="H15" s="14"/>
      <c r="I15" s="26"/>
      <c r="J15" s="26"/>
    </row>
    <row r="16" customFormat="false" ht="39.55" hidden="false" customHeight="false" outlineLevel="0" collapsed="false">
      <c r="A16" s="25" t="e">
        <f aca="false">#REF!</f>
        <v>#REF!</v>
      </c>
      <c r="B16" s="9"/>
      <c r="C16" s="10"/>
      <c r="D16" s="11" t="s">
        <v>20</v>
      </c>
      <c r="E16" s="16" t="s">
        <v>49</v>
      </c>
      <c r="F16" s="27" t="s">
        <v>50</v>
      </c>
      <c r="G16" s="14"/>
      <c r="H16" s="14"/>
      <c r="I16" s="26"/>
      <c r="J16" s="26"/>
    </row>
    <row r="17" customFormat="false" ht="39.55" hidden="false" customHeight="true" outlineLevel="0" collapsed="false">
      <c r="A17" s="20" t="s">
        <v>51</v>
      </c>
      <c r="B17" s="21" t="s">
        <v>52</v>
      </c>
      <c r="C17" s="10" t="s">
        <v>53</v>
      </c>
      <c r="D17" s="11" t="s">
        <v>10</v>
      </c>
      <c r="E17" s="16" t="s">
        <v>54</v>
      </c>
      <c r="F17" s="28" t="s">
        <v>55</v>
      </c>
      <c r="G17" s="14" t="n">
        <v>2</v>
      </c>
      <c r="H17" s="14"/>
      <c r="I17" s="26"/>
      <c r="J17" s="26"/>
    </row>
    <row r="18" customFormat="false" ht="26.85" hidden="false" customHeight="false" outlineLevel="0" collapsed="false">
      <c r="A18" s="20" t="e">
        <f aca="false">#REF!</f>
        <v>#REF!</v>
      </c>
      <c r="B18" s="21"/>
      <c r="C18" s="10"/>
      <c r="D18" s="11" t="s">
        <v>14</v>
      </c>
      <c r="E18" s="16" t="s">
        <v>56</v>
      </c>
      <c r="F18" s="22" t="s">
        <v>56</v>
      </c>
      <c r="G18" s="14"/>
      <c r="H18" s="14"/>
      <c r="I18" s="26"/>
      <c r="J18" s="26"/>
    </row>
    <row r="19" customFormat="false" ht="52.2" hidden="false" customHeight="false" outlineLevel="0" collapsed="false">
      <c r="A19" s="20" t="e">
        <f aca="false">#REF!</f>
        <v>#REF!</v>
      </c>
      <c r="B19" s="21"/>
      <c r="C19" s="10"/>
      <c r="D19" s="11" t="s">
        <v>17</v>
      </c>
      <c r="E19" s="16" t="s">
        <v>57</v>
      </c>
      <c r="F19" s="17" t="s">
        <v>16</v>
      </c>
      <c r="G19" s="14"/>
      <c r="H19" s="14"/>
      <c r="I19" s="26"/>
      <c r="J19" s="26"/>
    </row>
    <row r="20" customFormat="false" ht="39.55" hidden="false" customHeight="false" outlineLevel="0" collapsed="false">
      <c r="A20" s="20" t="e">
        <f aca="false">#REF!</f>
        <v>#REF!</v>
      </c>
      <c r="B20" s="21"/>
      <c r="C20" s="10"/>
      <c r="D20" s="11" t="s">
        <v>20</v>
      </c>
      <c r="E20" s="16" t="s">
        <v>58</v>
      </c>
      <c r="F20" s="22" t="s">
        <v>58</v>
      </c>
      <c r="G20" s="14"/>
      <c r="H20" s="14"/>
      <c r="I20" s="26"/>
      <c r="J20" s="26"/>
    </row>
    <row r="21" customFormat="false" ht="39.55" hidden="false" customHeight="true" outlineLevel="0" collapsed="false">
      <c r="A21" s="25" t="s">
        <v>59</v>
      </c>
      <c r="B21" s="9" t="s">
        <v>60</v>
      </c>
      <c r="C21" s="10" t="s">
        <v>53</v>
      </c>
      <c r="D21" s="11" t="s">
        <v>10</v>
      </c>
      <c r="E21" s="16" t="s">
        <v>61</v>
      </c>
      <c r="F21" s="27" t="s">
        <v>62</v>
      </c>
      <c r="G21" s="14" t="n">
        <v>2</v>
      </c>
      <c r="H21" s="14"/>
      <c r="I21" s="26"/>
      <c r="J21" s="26"/>
    </row>
    <row r="22" customFormat="false" ht="26.85" hidden="false" customHeight="false" outlineLevel="0" collapsed="false">
      <c r="A22" s="25" t="e">
        <f aca="false">#REF!</f>
        <v>#REF!</v>
      </c>
      <c r="B22" s="9"/>
      <c r="C22" s="10"/>
      <c r="D22" s="11" t="s">
        <v>14</v>
      </c>
      <c r="E22" s="16" t="s">
        <v>63</v>
      </c>
      <c r="F22" s="18" t="s">
        <v>63</v>
      </c>
      <c r="G22" s="14"/>
      <c r="H22" s="14"/>
      <c r="I22" s="26"/>
      <c r="J22" s="26"/>
    </row>
    <row r="23" customFormat="false" ht="14.25" hidden="false" customHeight="false" outlineLevel="0" collapsed="false">
      <c r="A23" s="25" t="e">
        <f aca="false">#REF!</f>
        <v>#REF!</v>
      </c>
      <c r="B23" s="9"/>
      <c r="C23" s="10"/>
      <c r="D23" s="11" t="s">
        <v>17</v>
      </c>
      <c r="E23" s="16" t="s">
        <v>64</v>
      </c>
      <c r="F23" s="27" t="s">
        <v>64</v>
      </c>
      <c r="G23" s="14"/>
      <c r="H23" s="14"/>
      <c r="I23" s="26"/>
      <c r="J23" s="26"/>
    </row>
    <row r="24" customFormat="false" ht="26.85" hidden="false" customHeight="false" outlineLevel="0" collapsed="false">
      <c r="A24" s="25" t="e">
        <f aca="false">#REF!</f>
        <v>#REF!</v>
      </c>
      <c r="B24" s="9"/>
      <c r="C24" s="10"/>
      <c r="D24" s="11" t="s">
        <v>20</v>
      </c>
      <c r="E24" s="16" t="s">
        <v>65</v>
      </c>
      <c r="F24" s="17" t="s">
        <v>16</v>
      </c>
      <c r="G24" s="14"/>
      <c r="H24" s="14"/>
      <c r="I24" s="26"/>
      <c r="J24" s="26"/>
    </row>
    <row r="25" customFormat="false" ht="39.55" hidden="false" customHeight="false" outlineLevel="0" collapsed="false">
      <c r="A25" s="25" t="e">
        <f aca="false">#REF!</f>
        <v>#REF!</v>
      </c>
      <c r="B25" s="9"/>
      <c r="C25" s="10"/>
      <c r="D25" s="11" t="s">
        <v>23</v>
      </c>
      <c r="E25" s="16" t="s">
        <v>66</v>
      </c>
      <c r="F25" s="18" t="s">
        <v>66</v>
      </c>
      <c r="G25" s="14"/>
      <c r="H25" s="14"/>
      <c r="I25" s="26"/>
      <c r="J25" s="26"/>
    </row>
    <row r="26" customFormat="false" ht="14.25" hidden="false" customHeight="false" outlineLevel="0" collapsed="false">
      <c r="B26" s="29"/>
      <c r="C26" s="1"/>
      <c r="D26" s="1"/>
      <c r="E26" s="30"/>
      <c r="F26" s="30"/>
      <c r="G26" s="30"/>
      <c r="H26" s="30"/>
      <c r="I26" s="30"/>
      <c r="J26" s="30"/>
    </row>
    <row r="27" customFormat="false" ht="29.85" hidden="false" customHeight="false" outlineLevel="0" collapsed="false">
      <c r="A27" s="31" t="str">
        <f aca="false">A1</f>
        <v> Competence </v>
      </c>
      <c r="B27" s="32"/>
      <c r="C27" s="33" t="str">
        <f aca="false">C1</f>
        <v>Level</v>
      </c>
      <c r="D27" s="31"/>
      <c r="E27" s="5" t="s">
        <v>2</v>
      </c>
      <c r="F27" s="5" t="str">
        <f aca="false">F1</f>
        <v>S2 Context / N/A</v>
      </c>
      <c r="G27" s="34" t="str">
        <f aca="false">G1</f>
        <v>Period</v>
      </c>
      <c r="H27" s="35" t="str">
        <f aca="false">H1</f>
        <v>Grade</v>
      </c>
      <c r="I27" s="36" t="str">
        <f aca="false">I1</f>
        <v>Explanation / Comments from Examiners</v>
      </c>
      <c r="J27" s="36" t="n">
        <f aca="false">J1</f>
        <v>0</v>
      </c>
    </row>
    <row r="28" customFormat="false" ht="26.85" hidden="false" customHeight="true" outlineLevel="0" collapsed="false">
      <c r="A28" s="37" t="s">
        <v>67</v>
      </c>
      <c r="B28" s="38" t="s">
        <v>68</v>
      </c>
      <c r="C28" s="39" t="s">
        <v>53</v>
      </c>
      <c r="D28" s="40" t="s">
        <v>10</v>
      </c>
      <c r="E28" s="16" t="s">
        <v>69</v>
      </c>
      <c r="F28" s="41" t="s">
        <v>69</v>
      </c>
      <c r="G28" s="42" t="n">
        <v>2</v>
      </c>
      <c r="H28" s="42"/>
      <c r="I28" s="43"/>
      <c r="J28" s="43"/>
    </row>
    <row r="29" customFormat="false" ht="15" hidden="false" customHeight="false" outlineLevel="0" collapsed="false">
      <c r="A29" s="37" t="e">
        <f aca="false">#REF!</f>
        <v>#REF!</v>
      </c>
      <c r="B29" s="38"/>
      <c r="C29" s="39"/>
      <c r="D29" s="44" t="s">
        <v>14</v>
      </c>
      <c r="E29" s="16" t="s">
        <v>70</v>
      </c>
      <c r="F29" s="41" t="s">
        <v>70</v>
      </c>
      <c r="G29" s="42"/>
      <c r="H29" s="42"/>
      <c r="I29" s="43"/>
      <c r="J29" s="43"/>
    </row>
    <row r="30" customFormat="false" ht="26.85" hidden="false" customHeight="false" outlineLevel="0" collapsed="false">
      <c r="A30" s="37" t="e">
        <f aca="false">#REF!</f>
        <v>#REF!</v>
      </c>
      <c r="B30" s="38"/>
      <c r="C30" s="39"/>
      <c r="D30" s="44" t="s">
        <v>17</v>
      </c>
      <c r="E30" s="16" t="s">
        <v>71</v>
      </c>
      <c r="F30" s="17" t="s">
        <v>16</v>
      </c>
      <c r="G30" s="42"/>
      <c r="H30" s="42"/>
      <c r="I30" s="43"/>
      <c r="J30" s="43"/>
    </row>
    <row r="31" customFormat="false" ht="15" hidden="false" customHeight="false" outlineLevel="0" collapsed="false">
      <c r="A31" s="37" t="e">
        <f aca="false">#REF!</f>
        <v>#REF!</v>
      </c>
      <c r="B31" s="38"/>
      <c r="C31" s="39"/>
      <c r="D31" s="44" t="s">
        <v>20</v>
      </c>
      <c r="E31" s="16" t="s">
        <v>72</v>
      </c>
      <c r="F31" s="41" t="s">
        <v>73</v>
      </c>
      <c r="G31" s="42"/>
      <c r="H31" s="42"/>
      <c r="I31" s="43"/>
      <c r="J31" s="43"/>
    </row>
    <row r="32" customFormat="false" ht="15" hidden="false" customHeight="false" outlineLevel="0" collapsed="false">
      <c r="A32" s="37" t="e">
        <f aca="false">#REF!</f>
        <v>#REF!</v>
      </c>
      <c r="B32" s="38"/>
      <c r="C32" s="39"/>
      <c r="D32" s="44" t="s">
        <v>23</v>
      </c>
      <c r="E32" s="16" t="s">
        <v>74</v>
      </c>
      <c r="F32" s="41" t="s">
        <v>74</v>
      </c>
      <c r="G32" s="42"/>
      <c r="H32" s="42"/>
      <c r="I32" s="43"/>
      <c r="J32" s="43"/>
    </row>
    <row r="33" customFormat="false" ht="14.25" hidden="false" customHeight="true" outlineLevel="0" collapsed="false">
      <c r="A33" s="45" t="s">
        <v>75</v>
      </c>
      <c r="B33" s="9" t="s">
        <v>76</v>
      </c>
      <c r="C33" s="10" t="s">
        <v>53</v>
      </c>
      <c r="D33" s="11" t="s">
        <v>10</v>
      </c>
      <c r="E33" s="16" t="s">
        <v>77</v>
      </c>
      <c r="F33" s="27" t="s">
        <v>78</v>
      </c>
      <c r="G33" s="14" t="n">
        <v>1</v>
      </c>
      <c r="H33" s="14" t="n">
        <v>0</v>
      </c>
      <c r="I33" s="15" t="s">
        <v>79</v>
      </c>
      <c r="J33" s="15"/>
    </row>
    <row r="34" customFormat="false" ht="39.55" hidden="false" customHeight="false" outlineLevel="0" collapsed="false">
      <c r="A34" s="45" t="e">
        <f aca="false">#REF!</f>
        <v>#REF!</v>
      </c>
      <c r="B34" s="9"/>
      <c r="C34" s="10"/>
      <c r="D34" s="11" t="s">
        <v>14</v>
      </c>
      <c r="E34" s="12" t="s">
        <v>80</v>
      </c>
      <c r="F34" s="13" t="s">
        <v>81</v>
      </c>
      <c r="G34" s="14"/>
      <c r="H34" s="14"/>
      <c r="I34" s="15"/>
      <c r="J34" s="15"/>
    </row>
    <row r="35" customFormat="false" ht="26.85" hidden="false" customHeight="false" outlineLevel="0" collapsed="false">
      <c r="A35" s="45" t="e">
        <f aca="false">#REF!</f>
        <v>#REF!</v>
      </c>
      <c r="B35" s="9"/>
      <c r="C35" s="10"/>
      <c r="D35" s="11" t="s">
        <v>17</v>
      </c>
      <c r="E35" s="12" t="s">
        <v>82</v>
      </c>
      <c r="F35" s="46" t="s">
        <v>83</v>
      </c>
      <c r="G35" s="14"/>
      <c r="H35" s="14"/>
      <c r="I35" s="15"/>
      <c r="J35" s="15"/>
    </row>
    <row r="36" customFormat="false" ht="26.85" hidden="false" customHeight="false" outlineLevel="0" collapsed="false">
      <c r="A36" s="45" t="e">
        <f aca="false">#REF!</f>
        <v>#REF!</v>
      </c>
      <c r="B36" s="9"/>
      <c r="C36" s="10"/>
      <c r="D36" s="11" t="s">
        <v>20</v>
      </c>
      <c r="E36" s="16" t="s">
        <v>84</v>
      </c>
      <c r="F36" s="46" t="s">
        <v>84</v>
      </c>
      <c r="G36" s="14"/>
      <c r="H36" s="14"/>
      <c r="I36" s="15"/>
      <c r="J36" s="15"/>
    </row>
    <row r="37" customFormat="false" ht="39.55" hidden="false" customHeight="false" outlineLevel="0" collapsed="false">
      <c r="A37" s="45" t="e">
        <f aca="false">#REF!</f>
        <v>#REF!</v>
      </c>
      <c r="B37" s="9"/>
      <c r="C37" s="10"/>
      <c r="D37" s="11" t="s">
        <v>23</v>
      </c>
      <c r="E37" s="16" t="s">
        <v>85</v>
      </c>
      <c r="F37" s="17" t="s">
        <v>16</v>
      </c>
      <c r="G37" s="14"/>
      <c r="H37" s="14"/>
      <c r="I37" s="15"/>
      <c r="J37" s="15"/>
    </row>
    <row r="38" customFormat="false" ht="39.55" hidden="false" customHeight="true" outlineLevel="0" collapsed="false">
      <c r="A38" s="47" t="s">
        <v>86</v>
      </c>
      <c r="B38" s="48" t="s">
        <v>87</v>
      </c>
      <c r="C38" s="49" t="s">
        <v>53</v>
      </c>
      <c r="D38" s="44" t="s">
        <v>10</v>
      </c>
      <c r="E38" s="16" t="s">
        <v>88</v>
      </c>
      <c r="F38" s="17" t="s">
        <v>16</v>
      </c>
      <c r="G38" s="14" t="n">
        <v>2</v>
      </c>
      <c r="H38" s="14"/>
      <c r="I38" s="50"/>
      <c r="J38" s="50"/>
    </row>
    <row r="39" customFormat="false" ht="15" hidden="false" customHeight="false" outlineLevel="0" collapsed="false">
      <c r="A39" s="47" t="e">
        <f aca="false">#REF!</f>
        <v>#REF!</v>
      </c>
      <c r="B39" s="48"/>
      <c r="C39" s="49"/>
      <c r="D39" s="44" t="s">
        <v>14</v>
      </c>
      <c r="E39" s="16" t="s">
        <v>89</v>
      </c>
      <c r="F39" s="41" t="s">
        <v>89</v>
      </c>
      <c r="G39" s="14"/>
      <c r="H39" s="14"/>
      <c r="I39" s="50"/>
      <c r="J39" s="50"/>
    </row>
    <row r="40" customFormat="false" ht="39.55" hidden="false" customHeight="false" outlineLevel="0" collapsed="false">
      <c r="A40" s="47" t="e">
        <f aca="false">#REF!</f>
        <v>#REF!</v>
      </c>
      <c r="B40" s="48"/>
      <c r="C40" s="49"/>
      <c r="D40" s="44" t="s">
        <v>17</v>
      </c>
      <c r="E40" s="16" t="s">
        <v>90</v>
      </c>
      <c r="F40" s="51" t="s">
        <v>90</v>
      </c>
      <c r="G40" s="14"/>
      <c r="H40" s="14"/>
      <c r="I40" s="50"/>
      <c r="J40" s="50"/>
    </row>
    <row r="41" customFormat="false" ht="15" hidden="false" customHeight="false" outlineLevel="0" collapsed="false">
      <c r="A41" s="47" t="e">
        <f aca="false">#REF!</f>
        <v>#REF!</v>
      </c>
      <c r="B41" s="48"/>
      <c r="C41" s="49"/>
      <c r="D41" s="44" t="s">
        <v>20</v>
      </c>
      <c r="E41" s="16" t="s">
        <v>91</v>
      </c>
      <c r="F41" s="51" t="s">
        <v>91</v>
      </c>
      <c r="G41" s="14"/>
      <c r="H41" s="14"/>
      <c r="I41" s="50"/>
      <c r="J41" s="50"/>
    </row>
    <row r="42" customFormat="false" ht="15" hidden="false" customHeight="false" outlineLevel="0" collapsed="false">
      <c r="A42" s="47" t="e">
        <f aca="false">#REF!</f>
        <v>#REF!</v>
      </c>
      <c r="B42" s="48"/>
      <c r="C42" s="49"/>
      <c r="D42" s="44" t="s">
        <v>23</v>
      </c>
      <c r="E42" s="16" t="s">
        <v>91</v>
      </c>
      <c r="F42" s="41" t="s">
        <v>92</v>
      </c>
      <c r="G42" s="14"/>
      <c r="H42" s="14"/>
      <c r="I42" s="50"/>
      <c r="J42" s="50"/>
    </row>
    <row r="43" customFormat="false" ht="26.85" hidden="false" customHeight="false" outlineLevel="0" collapsed="false">
      <c r="A43" s="47" t="e">
        <f aca="false">#REF!</f>
        <v>#REF!</v>
      </c>
      <c r="B43" s="48"/>
      <c r="C43" s="49"/>
      <c r="D43" s="44" t="s">
        <v>38</v>
      </c>
      <c r="E43" s="16" t="s">
        <v>93</v>
      </c>
      <c r="F43" s="51" t="s">
        <v>93</v>
      </c>
      <c r="G43" s="14"/>
      <c r="H43" s="14"/>
      <c r="I43" s="50"/>
      <c r="J43" s="50"/>
    </row>
    <row r="45" customFormat="false" ht="14.25" hidden="false" customHeight="false" outlineLevel="0" collapsed="false">
      <c r="F45" s="52" t="s">
        <v>94</v>
      </c>
      <c r="H45" s="53" t="n">
        <f aca="false">((2*H2)+(2*H7)+(1*H33))/5</f>
        <v>4.4</v>
      </c>
    </row>
    <row r="46" customFormat="false" ht="14.25" hidden="false" customHeight="false" outlineLevel="0" collapsed="false">
      <c r="F46" s="52"/>
    </row>
    <row r="47" customFormat="false" ht="14.25" hidden="false" customHeight="false" outlineLevel="0" collapsed="false">
      <c r="F47" s="52" t="s">
        <v>95</v>
      </c>
      <c r="H47" s="53" t="n">
        <f aca="false">((2*H13)+(1*H17)+(1*H21)+(1*H28)+(1*H38))/6</f>
        <v>0</v>
      </c>
    </row>
    <row r="48" customFormat="false" ht="14.25" hidden="false" customHeight="false" outlineLevel="0" collapsed="false">
      <c r="F48" s="52" t="s">
        <v>96</v>
      </c>
      <c r="H48" s="1"/>
    </row>
    <row r="49" customFormat="false" ht="14.25" hidden="false" customHeight="false" outlineLevel="0" collapsed="false">
      <c r="F49" s="54" t="s">
        <v>97</v>
      </c>
      <c r="G49" s="55" t="n">
        <v>1</v>
      </c>
      <c r="H49" s="53" t="n">
        <f aca="false">G49*$H$47</f>
        <v>0</v>
      </c>
    </row>
    <row r="50" customFormat="false" ht="14.25" hidden="false" customHeight="false" outlineLevel="0" collapsed="false">
      <c r="F50" s="54" t="s">
        <v>98</v>
      </c>
      <c r="G50" s="55" t="n">
        <v>1</v>
      </c>
      <c r="H50" s="53" t="n">
        <f aca="false">G50*$H$47</f>
        <v>0</v>
      </c>
    </row>
    <row r="51" customFormat="false" ht="14.25" hidden="false" customHeight="false" outlineLevel="0" collapsed="false">
      <c r="F51" s="54" t="s">
        <v>99</v>
      </c>
      <c r="G51" s="55" t="n">
        <v>1</v>
      </c>
      <c r="H51" s="53" t="n">
        <f aca="false">G51*$H$47</f>
        <v>0</v>
      </c>
    </row>
    <row r="52" customFormat="false" ht="14.25" hidden="false" customHeight="false" outlineLevel="0" collapsed="false">
      <c r="F52" s="54" t="s">
        <v>100</v>
      </c>
      <c r="G52" s="55" t="n">
        <v>1</v>
      </c>
      <c r="H52" s="53" t="n">
        <f aca="false">G52*$H$47</f>
        <v>0</v>
      </c>
    </row>
    <row r="53" customFormat="false" ht="14.25" hidden="false" customHeight="false" outlineLevel="0" collapsed="false">
      <c r="F53" s="54" t="s">
        <v>101</v>
      </c>
      <c r="G53" s="55" t="n">
        <v>1</v>
      </c>
      <c r="H53" s="53" t="n">
        <f aca="false">G53*$H$47</f>
        <v>0</v>
      </c>
    </row>
    <row r="60" customFormat="false" ht="14.25" hidden="false" customHeight="false" outlineLevel="0" collapsed="false">
      <c r="F60" s="56"/>
    </row>
  </sheetData>
  <mergeCells count="52">
    <mergeCell ref="A1:B1"/>
    <mergeCell ref="I1:J1"/>
    <mergeCell ref="A2:A6"/>
    <mergeCell ref="B2:B6"/>
    <mergeCell ref="C2:C6"/>
    <mergeCell ref="G2:G6"/>
    <mergeCell ref="H2:H6"/>
    <mergeCell ref="I2:J6"/>
    <mergeCell ref="A7:A12"/>
    <mergeCell ref="B7:B12"/>
    <mergeCell ref="C7:C12"/>
    <mergeCell ref="G7:G12"/>
    <mergeCell ref="H7:H12"/>
    <mergeCell ref="I7:J12"/>
    <mergeCell ref="A13:A16"/>
    <mergeCell ref="B13:B16"/>
    <mergeCell ref="C13:C16"/>
    <mergeCell ref="G13:G16"/>
    <mergeCell ref="H13:H16"/>
    <mergeCell ref="I13:J16"/>
    <mergeCell ref="A17:A20"/>
    <mergeCell ref="B17:B20"/>
    <mergeCell ref="C17:C20"/>
    <mergeCell ref="G17:G20"/>
    <mergeCell ref="H17:H20"/>
    <mergeCell ref="I17:J20"/>
    <mergeCell ref="A21:A25"/>
    <mergeCell ref="B21:B25"/>
    <mergeCell ref="C21:C25"/>
    <mergeCell ref="G21:G25"/>
    <mergeCell ref="H21:H25"/>
    <mergeCell ref="I21:J25"/>
    <mergeCell ref="E26:J26"/>
    <mergeCell ref="I27:J27"/>
    <mergeCell ref="A28:A32"/>
    <mergeCell ref="B28:B32"/>
    <mergeCell ref="C28:C32"/>
    <mergeCell ref="G28:G32"/>
    <mergeCell ref="H28:H32"/>
    <mergeCell ref="I28:J32"/>
    <mergeCell ref="A33:A37"/>
    <mergeCell ref="B33:B37"/>
    <mergeCell ref="C33:C37"/>
    <mergeCell ref="G33:G37"/>
    <mergeCell ref="H33:H37"/>
    <mergeCell ref="I33:J37"/>
    <mergeCell ref="A38:A43"/>
    <mergeCell ref="B38:B43"/>
    <mergeCell ref="C38:C43"/>
    <mergeCell ref="G38:G43"/>
    <mergeCell ref="H38:H43"/>
    <mergeCell ref="I38:J43"/>
  </mergeCells>
  <conditionalFormatting sqref="A7:E9 G7:J9 A10:J10 A11:E12 G11:J12 A17:E18 G17:J18 A19:J19 A20:E20 G20:J20 A28:J32 A38:J43">
    <cfRule type="expression" priority="2" aboveAverage="0" equalAverage="0" bottom="0" percent="0" rank="0" text="" dxfId="0">
      <formula>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2022-05-24T11:02:02Z</dcterms:created>
  <dc:creator>Peter Bijl</dc:creator>
  <dc:description/>
  <dc:language>en-US</dc:language>
  <cp:lastModifiedBy/>
  <dcterms:modified xsi:type="dcterms:W3CDTF">2026-04-17T14:44:12Z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